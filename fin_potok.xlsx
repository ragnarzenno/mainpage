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ин.пото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 &quot;₽&quot;"/>
  </numFmts>
  <fonts count="9">
    <font>
      <name val="Calibri"/>
      <family val="2"/>
      <color theme="1"/>
      <sz val="11"/>
      <scheme val="minor"/>
    </font>
    <font>
      <b val="1"/>
      <color rgb="00D1B16A"/>
      <sz val="14"/>
    </font>
    <font>
      <b val="1"/>
      <color rgb="00FFFFFF"/>
    </font>
    <font>
      <b val="1"/>
      <color rgb="001B2230"/>
      <sz val="11"/>
    </font>
    <font>
      <b val="1"/>
      <color rgb="00111111"/>
    </font>
    <font>
      <color rgb="00555555"/>
      <sz val="10"/>
    </font>
    <font>
      <color rgb="00222222"/>
    </font>
    <font>
      <b val="1"/>
      <color rgb="001B2230"/>
      <sz val="12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B2230"/>
      </patternFill>
    </fill>
    <fill>
      <patternFill patternType="solid">
        <fgColor rgb="00F5F0E1"/>
      </patternFill>
    </fill>
    <fill>
      <patternFill patternType="solid">
        <fgColor rgb="00EFE7CF"/>
      </patternFill>
    </fill>
  </fills>
  <borders count="2">
    <border>
      <left/>
      <right/>
      <top/>
      <bottom/>
      <diagonal/>
    </border>
    <border>
      <left style="thin">
        <color rgb="009AA0AA"/>
      </left>
      <right style="thin">
        <color rgb="009AA0AA"/>
      </right>
      <top style="thin">
        <color rgb="009AA0AA"/>
      </top>
      <bottom style="thin">
        <color rgb="009AA0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6" fillId="0" borderId="1" pivotButton="0" quotePrefix="0" xfId="0"/>
    <xf numFmtId="164" fontId="6" fillId="0" borderId="1" pivotButton="0" quotePrefix="0" xfId="0"/>
    <xf numFmtId="0" fontId="0" fillId="0" borderId="1" pivotButton="0" quotePrefix="0" xfId="0"/>
    <xf numFmtId="0" fontId="7" fillId="4" borderId="1" pivotButton="0" quotePrefix="0" xfId="0"/>
    <xf numFmtId="164" fontId="8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44" customWidth="1" min="3" max="3"/>
    <col width="18" customWidth="1" min="4" max="4"/>
    <col width="11" customWidth="1" min="5" max="5"/>
    <col width="18" customWidth="1" min="6" max="6"/>
    <col width="11" customWidth="1" min="7" max="7"/>
    <col width="18" customWidth="1" min="8" max="8"/>
    <col width="11" customWidth="1" min="9" max="9"/>
    <col width="18" customWidth="1" min="10" max="10"/>
    <col width="11" customWidth="1" min="11" max="11"/>
  </cols>
  <sheetData>
    <row r="1">
      <c r="A1" s="1" t="inlineStr">
        <is>
          <t>ФИН.ПОТОК — расходы (₽/мес)</t>
        </is>
      </c>
    </row>
    <row r="2">
      <c r="A2" s="2" t="inlineStr">
        <is>
          <t>Категория</t>
        </is>
      </c>
      <c r="B2" s="2" t="inlineStr">
        <is>
          <t>Сумма в месяц</t>
        </is>
      </c>
      <c r="C2" s="2" t="inlineStr">
        <is>
          <t>Примечание</t>
        </is>
      </c>
      <c r="D2" s="2" t="inlineStr">
        <is>
          <t>Расшифровка  (пункт → ₽/мес)</t>
        </is>
      </c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жильё (аренда, ипотека, платежи)</t>
        </is>
      </c>
      <c r="B3" s="4">
        <f>E3</f>
        <v/>
      </c>
      <c r="C3" s="5" t="inlineStr">
        <is>
          <t>Вилла</t>
        </is>
      </c>
      <c r="D3" s="6" t="inlineStr">
        <is>
          <t>Аренда виллы</t>
        </is>
      </c>
      <c r="E3" s="7" t="n">
        <v>33000</v>
      </c>
      <c r="F3" s="8" t="n"/>
      <c r="G3" s="8" t="n"/>
      <c r="H3" s="8" t="n"/>
      <c r="I3" s="8" t="n"/>
      <c r="J3" s="8" t="n"/>
      <c r="K3" s="8" t="n"/>
    </row>
    <row r="4">
      <c r="A4" s="3" t="inlineStr">
        <is>
          <t>долги, кредиты, рассрочки (Долг/6 мес)</t>
        </is>
      </c>
      <c r="B4" s="4">
        <f>E4</f>
        <v/>
      </c>
      <c r="C4" s="5" t="inlineStr">
        <is>
          <t>Гашу весь долг частями, чтобы закрыть за полгода</t>
        </is>
      </c>
      <c r="D4" s="6" t="inlineStr">
        <is>
          <t>Погашение долга</t>
        </is>
      </c>
      <c r="E4" s="7" t="n">
        <v>44000</v>
      </c>
      <c r="F4" s="8" t="n"/>
      <c r="G4" s="8" t="n"/>
      <c r="H4" s="8" t="n"/>
      <c r="I4" s="8" t="n"/>
      <c r="J4" s="8" t="n"/>
      <c r="K4" s="8" t="n"/>
    </row>
    <row r="5">
      <c r="A5" s="3" t="inlineStr">
        <is>
          <t>инвестиции в себя (обучение, спорт, творчество, трансформация)</t>
        </is>
      </c>
      <c r="B5" s="4">
        <f>E5+G5+I5</f>
        <v/>
      </c>
      <c r="C5" s="5" t="inlineStr">
        <is>
          <t>Мастер-классы + танц-движухи + крупное обучение (гипноз/ретрит)</t>
        </is>
      </c>
      <c r="D5" s="6" t="inlineStr">
        <is>
          <t>Мастер-классы</t>
        </is>
      </c>
      <c r="E5" s="7" t="n">
        <v>5000</v>
      </c>
      <c r="F5" s="6" t="inlineStr">
        <is>
          <t>Танцы/движухи</t>
        </is>
      </c>
      <c r="G5" s="7" t="n">
        <v>2000</v>
      </c>
      <c r="H5" s="6" t="inlineStr">
        <is>
          <t>Обучение</t>
        </is>
      </c>
      <c r="I5" s="7" t="n">
        <v>33333</v>
      </c>
      <c r="J5" s="8" t="n"/>
      <c r="K5" s="8" t="n"/>
    </row>
    <row r="6">
      <c r="A6" s="3" t="inlineStr">
        <is>
          <t>здоровье (бады, обследования, массажи, процедуры)</t>
        </is>
      </c>
      <c r="B6" s="4">
        <f>E6+G6+I6</f>
        <v/>
      </c>
      <c r="C6" s="5" t="inlineStr">
        <is>
          <t>Массаж + курс бадов + микродозинг</t>
        </is>
      </c>
      <c r="D6" s="6" t="inlineStr">
        <is>
          <t>Массаж</t>
        </is>
      </c>
      <c r="E6" s="7" t="n">
        <v>5000</v>
      </c>
      <c r="F6" s="6" t="inlineStr">
        <is>
          <t>Бады</t>
        </is>
      </c>
      <c r="G6" s="7" t="n">
        <v>5000</v>
      </c>
      <c r="H6" s="6" t="inlineStr">
        <is>
          <t>Микродоз/прочее</t>
        </is>
      </c>
      <c r="I6" s="7" t="n">
        <v>3000</v>
      </c>
      <c r="J6" s="8" t="n"/>
      <c r="K6" s="8" t="n"/>
    </row>
    <row r="7">
      <c r="A7" s="3" t="inlineStr">
        <is>
          <t>транспорт (аренда, замена расходников, топливо)</t>
        </is>
      </c>
      <c r="B7" s="4">
        <f>E7+G7</f>
        <v/>
      </c>
      <c r="C7" s="5" t="inlineStr">
        <is>
          <t>Аренда байка + такси до Nuanu</t>
        </is>
      </c>
      <c r="D7" s="6" t="inlineStr">
        <is>
          <t>Байк</t>
        </is>
      </c>
      <c r="E7" s="7" t="n">
        <v>10000</v>
      </c>
      <c r="F7" s="6" t="inlineStr">
        <is>
          <t>Такси</t>
        </is>
      </c>
      <c r="G7" s="7" t="n">
        <v>15000</v>
      </c>
      <c r="H7" s="8" t="n"/>
      <c r="I7" s="8" t="n"/>
      <c r="J7" s="8" t="n"/>
      <c r="K7" s="8" t="n"/>
    </row>
    <row r="8">
      <c r="A8" s="3" t="inlineStr">
        <is>
          <t>одежда, аксессуары, косметика, уход за собой</t>
        </is>
      </c>
      <c r="B8" s="4">
        <f>E8</f>
        <v/>
      </c>
      <c r="C8" s="5" t="inlineStr">
        <is>
          <t>Качественная одежда и уход</t>
        </is>
      </c>
      <c r="D8" s="6" t="inlineStr">
        <is>
          <t>Одежда/уход</t>
        </is>
      </c>
      <c r="E8" s="7" t="n">
        <v>10000</v>
      </c>
      <c r="F8" s="8" t="n"/>
      <c r="G8" s="8" t="n"/>
      <c r="H8" s="8" t="n"/>
      <c r="I8" s="8" t="n"/>
      <c r="J8" s="8" t="n"/>
      <c r="K8" s="8" t="n"/>
    </row>
    <row r="9">
      <c r="A9" s="3" t="inlineStr">
        <is>
          <t>гаджеты (телефоны, камеры, связь, интернет, устройства)</t>
        </is>
      </c>
      <c r="B9" s="4">
        <f>E9+G9+I9+K9</f>
        <v/>
      </c>
      <c r="C9" s="5" t="inlineStr">
        <is>
          <t>Закупка техники + связь/интернет</t>
        </is>
      </c>
      <c r="D9" s="6" t="inlineStr">
        <is>
          <t>Монитор 2K</t>
        </is>
      </c>
      <c r="E9" s="7" t="n">
        <v>6667</v>
      </c>
      <c r="F9" s="6" t="inlineStr">
        <is>
          <t>Колонки</t>
        </is>
      </c>
      <c r="G9" s="7" t="n">
        <v>1667</v>
      </c>
      <c r="H9" s="6" t="inlineStr">
        <is>
          <t>RAM 16 ГБ</t>
        </is>
      </c>
      <c r="I9" s="7" t="n">
        <v>1666</v>
      </c>
      <c r="J9" s="6" t="inlineStr">
        <is>
          <t>Связь+интернет</t>
        </is>
      </c>
      <c r="K9" s="7" t="n">
        <v>2000</v>
      </c>
    </row>
    <row r="10">
      <c r="A10" s="3" t="inlineStr">
        <is>
          <t>бизнес (только личный бренд)</t>
        </is>
      </c>
      <c r="B10" s="4">
        <f>E10</f>
        <v/>
      </c>
      <c r="C10" s="5" t="inlineStr">
        <is>
          <t>Реклама, съёмки, подрядчики (пока не заполнено)</t>
        </is>
      </c>
      <c r="D10" s="6" t="inlineStr">
        <is>
          <t>—</t>
        </is>
      </c>
      <c r="E10" s="7" t="n">
        <v>0</v>
      </c>
      <c r="F10" s="8" t="n"/>
      <c r="G10" s="8" t="n"/>
      <c r="H10" s="8" t="n"/>
      <c r="I10" s="8" t="n"/>
      <c r="J10" s="8" t="n"/>
      <c r="K10" s="8" t="n"/>
    </row>
    <row r="11">
      <c r="A11" s="3" t="inlineStr">
        <is>
          <t>Питание (продукты, кафе, рестораны, доставка)</t>
        </is>
      </c>
      <c r="B11" s="4">
        <f>E11+G11+I11</f>
        <v/>
      </c>
      <c r="C11" s="5" t="inlineStr">
        <is>
          <t>Рестораны/кафе + продукты домой + доставка</t>
        </is>
      </c>
      <c r="D11" s="6" t="inlineStr">
        <is>
          <t>Рестораны/кафе</t>
        </is>
      </c>
      <c r="E11" s="7" t="n">
        <v>16000</v>
      </c>
      <c r="F11" s="6" t="inlineStr">
        <is>
          <t>Продукты</t>
        </is>
      </c>
      <c r="G11" s="7" t="n">
        <v>12000</v>
      </c>
      <c r="H11" s="6" t="inlineStr">
        <is>
          <t>Доставка</t>
        </is>
      </c>
      <c r="I11" s="7" t="n">
        <v>2000</v>
      </c>
      <c r="J11" s="8" t="n"/>
      <c r="K11" s="8" t="n"/>
    </row>
    <row r="12">
      <c r="A12" s="3" t="inlineStr">
        <is>
          <t>Подарки (себе, родным, друзья, половинка)</t>
        </is>
      </c>
      <c r="B12" s="4">
        <f>E12+G12</f>
        <v/>
      </c>
      <c r="C12" s="5" t="inlineStr">
        <is>
          <t>Родным и девушке</t>
        </is>
      </c>
      <c r="D12" s="6" t="inlineStr">
        <is>
          <t>Родным</t>
        </is>
      </c>
      <c r="E12" s="7" t="n">
        <v>5000</v>
      </c>
      <c r="F12" s="6" t="inlineStr">
        <is>
          <t>Девушке</t>
        </is>
      </c>
      <c r="G12" s="7" t="n">
        <v>5000</v>
      </c>
      <c r="H12" s="8" t="n"/>
      <c r="I12" s="8" t="n"/>
      <c r="J12" s="8" t="n"/>
      <c r="K12" s="8" t="n"/>
    </row>
    <row r="13">
      <c r="A13" s="3" t="inlineStr">
        <is>
          <t>отдых (проведение выходных, отпуск)</t>
        </is>
      </c>
      <c r="B13" s="4">
        <f>E13</f>
        <v/>
      </c>
      <c r="C13" s="5" t="inlineStr">
        <is>
          <t>Крупный отдых/отпуск раз в квартал</t>
        </is>
      </c>
      <c r="D13" s="6" t="inlineStr">
        <is>
          <t>Отпуск/вылазка</t>
        </is>
      </c>
      <c r="E13" s="7" t="n">
        <v>33333</v>
      </c>
      <c r="F13" s="8" t="n"/>
      <c r="G13" s="8" t="n"/>
      <c r="H13" s="8" t="n"/>
      <c r="I13" s="8" t="n"/>
      <c r="J13" s="8" t="n"/>
      <c r="K13" s="8" t="n"/>
    </row>
    <row r="14">
      <c r="A14" s="3" t="inlineStr">
        <is>
          <t>подписки услуг (приложения, музыка, кино)</t>
        </is>
      </c>
      <c r="B14" s="4">
        <f>E14</f>
        <v/>
      </c>
      <c r="C14" s="5" t="inlineStr">
        <is>
          <t>Приложения, музыка, кино</t>
        </is>
      </c>
      <c r="D14" s="6" t="inlineStr">
        <is>
          <t>Подписки</t>
        </is>
      </c>
      <c r="E14" s="7" t="n">
        <v>3000</v>
      </c>
      <c r="F14" s="8" t="n"/>
      <c r="G14" s="8" t="n"/>
      <c r="H14" s="8" t="n"/>
      <c r="I14" s="8" t="n"/>
      <c r="J14" s="8" t="n"/>
      <c r="K14" s="8" t="n"/>
    </row>
    <row r="15">
      <c r="A15" s="3" t="inlineStr">
        <is>
          <t>визы (визараны)</t>
        </is>
      </c>
      <c r="B15" s="4">
        <f>E15</f>
        <v/>
      </c>
      <c r="C15" s="5" t="inlineStr">
        <is>
          <t>Визаран/продление визы</t>
        </is>
      </c>
      <c r="D15" s="6" t="inlineStr">
        <is>
          <t>Виза</t>
        </is>
      </c>
      <c r="E15" s="7" t="n">
        <v>12500</v>
      </c>
      <c r="F15" s="8" t="n"/>
      <c r="G15" s="8" t="n"/>
      <c r="H15" s="8" t="n"/>
      <c r="I15" s="8" t="n"/>
      <c r="J15" s="8" t="n"/>
      <c r="K15" s="8" t="n"/>
    </row>
    <row r="16">
      <c r="A16" s="3" t="inlineStr">
        <is>
          <t>благотворительность</t>
        </is>
      </c>
      <c r="B16" s="4">
        <f>E16+G16</f>
        <v/>
      </c>
      <c r="C16" s="5" t="inlineStr">
        <is>
          <t>Пожертвования в фонды</t>
        </is>
      </c>
      <c r="D16" s="6" t="inlineStr">
        <is>
          <t>Фонд детей</t>
        </is>
      </c>
      <c r="E16" s="7" t="n">
        <v>2500</v>
      </c>
      <c r="F16" s="6" t="inlineStr">
        <is>
          <t>Фонд природы</t>
        </is>
      </c>
      <c r="G16" s="7" t="n">
        <v>2500</v>
      </c>
      <c r="H16" s="8" t="n"/>
      <c r="I16" s="8" t="n"/>
      <c r="J16" s="8" t="n"/>
      <c r="K16" s="8" t="n"/>
    </row>
    <row r="17">
      <c r="A17" s="3" t="inlineStr">
        <is>
          <t>отношения (совместное времяпровождение, быт)</t>
        </is>
      </c>
      <c r="B17" s="4">
        <f>E17+G17</f>
        <v/>
      </c>
      <c r="C17" s="5" t="inlineStr">
        <is>
          <t>Совместные вылазки по выходным + совместный быт</t>
        </is>
      </c>
      <c r="D17" s="6" t="inlineStr">
        <is>
          <t>Вылазки</t>
        </is>
      </c>
      <c r="E17" s="7" t="n">
        <v>24000</v>
      </c>
      <c r="F17" s="6" t="inlineStr">
        <is>
          <t>Совместный быт</t>
        </is>
      </c>
      <c r="G17" s="7" t="n">
        <v>30000</v>
      </c>
      <c r="H17" s="8" t="n"/>
      <c r="I17" s="8" t="n"/>
      <c r="J17" s="8" t="n"/>
      <c r="K17" s="8" t="n"/>
    </row>
    <row r="18">
      <c r="A18" s="3" t="inlineStr">
        <is>
          <t>поездки</t>
        </is>
      </c>
      <c r="B18" s="4">
        <f>E18</f>
        <v/>
      </c>
      <c r="C18" s="5" t="inlineStr">
        <is>
          <t>Перелёты/поездки</t>
        </is>
      </c>
      <c r="D18" s="6" t="inlineStr">
        <is>
          <t>Перелёты/поездки</t>
        </is>
      </c>
      <c r="E18" s="7" t="n">
        <v>20000</v>
      </c>
      <c r="F18" s="8" t="n"/>
      <c r="G18" s="8" t="n"/>
      <c r="H18" s="8" t="n"/>
      <c r="I18" s="8" t="n"/>
      <c r="J18" s="8" t="n"/>
      <c r="K18" s="8" t="n"/>
    </row>
    <row r="19">
      <c r="A19" s="9" t="inlineStr">
        <is>
          <t>итого:</t>
        </is>
      </c>
      <c r="B19" s="10">
        <f>SUM(B3:B18)</f>
        <v/>
      </c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</row>
  </sheetData>
  <mergeCells count="2">
    <mergeCell ref="A1:K1"/>
    <mergeCell ref="D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2026-07-02T05:43:50Z</dcterms:created>
  <dcterms:modified xsi:type="dcterms:W3CDTF">2026-07-02T05:43:50Z</dcterms:modified>
</cp:coreProperties>
</file>