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ходы" sheetId="1" state="visible" r:id="rId1"/>
    <sheet name="Доходы" sheetId="2" state="visible" r:id="rId2"/>
    <sheet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₽"/>
  </numFmts>
  <fonts count="8">
    <font>
      <name val="Calibri"/>
      <family val="2"/>
      <color theme="1"/>
      <sz val="11"/>
      <scheme val="minor"/>
    </font>
    <font>
      <b val="1"/>
      <color rgb="00D1B16A"/>
      <sz val="14"/>
    </font>
    <font>
      <b val="1"/>
      <color rgb="00FFFFFF"/>
      <sz val="11"/>
    </font>
    <font>
      <color rgb="00222222"/>
      <sz val="11"/>
    </font>
    <font>
      <b val="1"/>
      <color rgb="00111111"/>
      <sz val="11"/>
    </font>
    <font>
      <i val="1"/>
      <color rgb="00B26A00"/>
      <sz val="10"/>
    </font>
    <font>
      <b val="1"/>
      <color rgb="000057B8"/>
    </font>
    <font>
      <b val="1"/>
      <color rgb="00D1B16A"/>
    </font>
  </fonts>
  <fills count="4">
    <fill>
      <patternFill/>
    </fill>
    <fill>
      <patternFill patternType="gray125"/>
    </fill>
    <fill>
      <patternFill patternType="solid">
        <fgColor rgb="001B2230"/>
      </patternFill>
    </fill>
    <fill>
      <patternFill patternType="solid">
        <fgColor rgb="00EFE7CF"/>
      </patternFill>
    </fill>
  </fills>
  <borders count="2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</cols>
  <sheetData>
    <row r="1">
      <c r="A1" s="1" t="inlineStr">
        <is>
          <t>ДЕКОМПОЗИЦИЯ — Расходы (ежемесячно, ₽)</t>
        </is>
      </c>
    </row>
    <row r="3">
      <c r="A3" s="2" t="inlineStr">
        <is>
          <t>№</t>
        </is>
      </c>
      <c r="B3" s="2" t="inlineStr">
        <is>
          <t>Категория</t>
        </is>
      </c>
      <c r="C3" s="2" t="inlineStr">
        <is>
          <t>Сумма/мес, ₽</t>
        </is>
      </c>
    </row>
    <row r="4">
      <c r="A4" s="3" t="n">
        <v>1</v>
      </c>
      <c r="B4" s="3" t="inlineStr">
        <is>
          <t>Жильё (аренда, ипотека, платежи)</t>
        </is>
      </c>
      <c r="C4" s="4" t="n">
        <v>0</v>
      </c>
    </row>
    <row r="5">
      <c r="A5" s="3" t="n">
        <v>2</v>
      </c>
      <c r="B5" s="3" t="inlineStr">
        <is>
          <t>Долги, кредиты, рассрочки (266 400 ÷ 12)</t>
        </is>
      </c>
      <c r="C5" s="4" t="n">
        <v>22200</v>
      </c>
    </row>
    <row r="6">
      <c r="A6" s="3" t="n">
        <v>3</v>
      </c>
      <c r="B6" s="3" t="inlineStr">
        <is>
          <t>Инвестиции в себя (обучение, спорт, творчество)</t>
        </is>
      </c>
      <c r="C6" s="4" t="n">
        <v>3000</v>
      </c>
    </row>
    <row r="7">
      <c r="A7" s="3" t="n">
        <v>4</v>
      </c>
      <c r="B7" s="3" t="inlineStr">
        <is>
          <t>Здоровье (бады, обследования, массаж)</t>
        </is>
      </c>
      <c r="C7" s="4" t="n">
        <v>4000</v>
      </c>
    </row>
    <row r="8">
      <c r="A8" s="3" t="n">
        <v>5</v>
      </c>
      <c r="B8" s="3" t="inlineStr">
        <is>
          <t>Транспорт (топливо, расходники)</t>
        </is>
      </c>
      <c r="C8" s="4" t="n">
        <v>2500</v>
      </c>
    </row>
    <row r="9">
      <c r="A9" s="3" t="n">
        <v>6</v>
      </c>
      <c r="B9" s="3" t="inlineStr">
        <is>
          <t>Одежда, косметика, уход</t>
        </is>
      </c>
      <c r="C9" s="4" t="n">
        <v>1500</v>
      </c>
    </row>
    <row r="10">
      <c r="A10" s="3" t="n">
        <v>7</v>
      </c>
      <c r="B10" s="3" t="inlineStr">
        <is>
          <t>Гаджеты, связь, интернет</t>
        </is>
      </c>
      <c r="C10" s="4" t="n">
        <v>0</v>
      </c>
    </row>
    <row r="11">
      <c r="A11" s="3" t="n">
        <v>8</v>
      </c>
      <c r="B11" s="3" t="inlineStr">
        <is>
          <t>Бизнес (личный бренд)</t>
        </is>
      </c>
      <c r="C11" s="4" t="n">
        <v>0</v>
      </c>
    </row>
    <row r="12">
      <c r="A12" s="3" t="n">
        <v>9</v>
      </c>
      <c r="B12" s="3" t="inlineStr">
        <is>
          <t>Питание (продукты, кафе, доставка)</t>
        </is>
      </c>
      <c r="C12" s="4" t="n">
        <v>15000</v>
      </c>
    </row>
    <row r="13">
      <c r="A13" s="3" t="n">
        <v>10</v>
      </c>
      <c r="B13" s="3" t="inlineStr">
        <is>
          <t>Подарки (ДР, праздники)</t>
        </is>
      </c>
      <c r="C13" s="4" t="n">
        <v>5000</v>
      </c>
    </row>
    <row r="14">
      <c r="A14" s="3" t="n">
        <v>11</v>
      </c>
      <c r="B14" s="3" t="inlineStr">
        <is>
          <t>Отдых (выходные, отпуск)</t>
        </is>
      </c>
      <c r="C14" s="4" t="n">
        <v>0</v>
      </c>
    </row>
    <row r="15">
      <c r="A15" s="3" t="n">
        <v>12</v>
      </c>
      <c r="B15" s="3" t="inlineStr">
        <is>
          <t>Путешествия</t>
        </is>
      </c>
      <c r="C15" s="4" t="n">
        <v>0</v>
      </c>
    </row>
    <row r="16">
      <c r="A16" s="3" t="n">
        <v>13</v>
      </c>
      <c r="B16" s="3" t="inlineStr">
        <is>
          <t>Подписки (приложения, музыка, кино)</t>
        </is>
      </c>
      <c r="C16" s="4" t="n">
        <v>500</v>
      </c>
    </row>
    <row r="17">
      <c r="A17" s="3" t="n">
        <v>14</v>
      </c>
      <c r="B17" s="3" t="inlineStr">
        <is>
          <t>Визы (визараны)</t>
        </is>
      </c>
      <c r="C17" s="4" t="n">
        <v>20000</v>
      </c>
    </row>
    <row r="18">
      <c r="A18" s="3" t="n">
        <v>15</v>
      </c>
      <c r="B18" s="3" t="inlineStr">
        <is>
          <t>Благотворительность</t>
        </is>
      </c>
      <c r="C18" s="4" t="n">
        <v>20000</v>
      </c>
    </row>
    <row r="19">
      <c r="A19" s="5" t="n"/>
      <c r="B19" s="6" t="inlineStr">
        <is>
          <t>ИТОГО расходов</t>
        </is>
      </c>
      <c r="C19" s="7">
        <f>SUM(C4:C18)</f>
        <v/>
      </c>
    </row>
    <row r="21">
      <c r="A21" s="8" t="inlineStr">
        <is>
          <t>Допущение: жильё = 0 (нет аренды/ипотеки). Долги 22 200 = 266 400 ₽ ÷ 12 мес.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9" customWidth="1" min="3" max="3"/>
    <col width="15" customWidth="1" min="4" max="4"/>
    <col width="10" customWidth="1" min="5" max="5"/>
    <col width="18" customWidth="1" min="6" max="6"/>
    <col width="18" customWidth="1" min="7" max="7"/>
    <col width="14" customWidth="1" min="8" max="8"/>
  </cols>
  <sheetData>
    <row r="1">
      <c r="A1" s="1" t="inlineStr">
        <is>
          <t>ДЕКОМПОЗИЦИЯ — Источники дохода (₽/мес)</t>
        </is>
      </c>
    </row>
    <row r="2">
      <c r="A2" s="9" t="inlineStr">
        <is>
          <t>Курс $ (₽)</t>
        </is>
      </c>
      <c r="B2" s="10" t="n">
        <v>80</v>
      </c>
    </row>
    <row r="3">
      <c r="A3" s="9" t="inlineStr">
        <is>
          <t>Средний чек заказа (делегирование), ₽</t>
        </is>
      </c>
      <c r="B3" s="10" t="n">
        <v>87500</v>
      </c>
      <c r="C3" s="8" t="inlineStr">
        <is>
          <t>середина 75-100к</t>
        </is>
      </c>
    </row>
    <row r="4">
      <c r="A4" s="9" t="inlineStr">
        <is>
          <t>Цель дохода / мес, ₽</t>
        </is>
      </c>
      <c r="B4" s="11" t="n">
        <v>750000</v>
      </c>
    </row>
    <row r="6">
      <c r="A6" s="2" t="inlineStr">
        <is>
          <t>№</t>
        </is>
      </c>
      <c r="B6" s="2" t="inlineStr">
        <is>
          <t>Источник дохода</t>
        </is>
      </c>
      <c r="C6" s="2" t="inlineStr">
        <is>
          <t>Ед.</t>
        </is>
      </c>
      <c r="D6" s="2" t="inlineStr">
        <is>
          <t>Доход с ед., ₽</t>
        </is>
      </c>
      <c r="E6" s="2" t="inlineStr">
        <is>
          <t>Ед./мес
(факт)</t>
        </is>
      </c>
      <c r="F6" s="2" t="inlineStr">
        <is>
          <t>Доход факт/мес</t>
        </is>
      </c>
      <c r="G6" s="2" t="inlineStr">
        <is>
          <t>План доход/мес</t>
        </is>
      </c>
      <c r="H6" s="2" t="inlineStr">
        <is>
          <t>Нужно ед./мес
(план)</t>
        </is>
      </c>
    </row>
    <row r="7">
      <c r="A7" s="3" t="n">
        <v>1</v>
      </c>
      <c r="B7" s="3" t="inlineStr">
        <is>
          <t>Гипнотерапия</t>
        </is>
      </c>
      <c r="C7" s="3" t="inlineStr">
        <is>
          <t>сессия</t>
        </is>
      </c>
      <c r="D7" s="4">
        <f>150*$B$2</f>
        <v/>
      </c>
      <c r="E7" s="3" t="n">
        <v>4</v>
      </c>
      <c r="F7" s="4">
        <f>D7*E7</f>
        <v/>
      </c>
      <c r="G7" s="4" t="n">
        <v>192000</v>
      </c>
      <c r="H7" s="12">
        <f>IF(D7=0,"—",ROUND(G7/D7,1))</f>
        <v/>
      </c>
    </row>
    <row r="8">
      <c r="A8" s="3" t="n">
        <v>2</v>
      </c>
      <c r="B8" s="3" t="inlineStr">
        <is>
          <t>Автоматизация — делегирование (30% от заказа)</t>
        </is>
      </c>
      <c r="C8" s="3" t="inlineStr">
        <is>
          <t>заказ</t>
        </is>
      </c>
      <c r="D8" s="4">
        <f>0.3*$B$3</f>
        <v/>
      </c>
      <c r="E8" s="3" t="n">
        <v>3.5</v>
      </c>
      <c r="F8" s="4">
        <f>D8*E8</f>
        <v/>
      </c>
      <c r="G8" s="4" t="n">
        <v>157500</v>
      </c>
      <c r="H8" s="12">
        <f>IF(D8=0,"—",ROUND(G8/D8,1))</f>
        <v/>
      </c>
    </row>
    <row r="9">
      <c r="A9" s="3" t="n">
        <v>3</v>
      </c>
      <c r="B9" s="3" t="inlineStr">
        <is>
          <t>Автоматизация — почасовая (2 клиента)</t>
        </is>
      </c>
      <c r="C9" s="3" t="inlineStr">
        <is>
          <t>час</t>
        </is>
      </c>
      <c r="D9" s="4" t="n">
        <v>2500</v>
      </c>
      <c r="E9" s="3" t="n">
        <v>43.3</v>
      </c>
      <c r="F9" s="4">
        <f>D9*E9</f>
        <v/>
      </c>
      <c r="G9" s="4" t="n">
        <v>150000</v>
      </c>
      <c r="H9" s="12">
        <f>IF(D9=0,"—",ROUND(G9/D9,1))</f>
        <v/>
      </c>
    </row>
    <row r="10">
      <c r="A10" s="3" t="n">
        <v>4</v>
      </c>
      <c r="B10" s="3" t="inlineStr">
        <is>
          <t>Академия / проекты RealMind</t>
        </is>
      </c>
      <c r="C10" s="3" t="inlineStr">
        <is>
          <t>проект</t>
        </is>
      </c>
      <c r="D10" s="4" t="n">
        <v>50000</v>
      </c>
      <c r="E10" s="3" t="n">
        <v>0</v>
      </c>
      <c r="F10" s="4">
        <f>D10*E10</f>
        <v/>
      </c>
      <c r="G10" s="4" t="n">
        <v>250500</v>
      </c>
      <c r="H10" s="12">
        <f>IF(D10=0,"—",ROUND(G10/D10,1))</f>
        <v/>
      </c>
    </row>
    <row r="11">
      <c r="A11" s="5" t="n"/>
      <c r="B11" s="6" t="inlineStr">
        <is>
          <t>ИТОГО</t>
        </is>
      </c>
      <c r="C11" s="5" t="n"/>
      <c r="D11" s="5" t="n"/>
      <c r="E11" s="5" t="n"/>
      <c r="F11" s="7">
        <f>SUM(F7:F10)</f>
        <v/>
      </c>
      <c r="G11" s="7">
        <f>SUM(G7:G10)</f>
        <v/>
      </c>
      <c r="H11" s="5" t="n"/>
    </row>
    <row r="13">
      <c r="A13" s="8" t="inlineStr">
        <is>
          <t>Пояснения к плану (цель 750 000 ₽/мес):</t>
        </is>
      </c>
    </row>
    <row r="14">
      <c r="A14" s="8" t="inlineStr">
        <is>
          <t>• Гипнотерапия: $150/сессия × курс 80. Рост 4 → 16 сессий/мес (программа, цена может быть выше).</t>
        </is>
      </c>
    </row>
    <row r="15">
      <c r="A15" s="8" t="inlineStr">
        <is>
          <t>• Делегирование: 30% × 87 500 = 26 250 ₽/заказ. 1 заказ = 2–3 недели → рост числа заказов только через делегатов (параллельные потоки). В плане 6 заказов/мес по текущей мощности.</t>
        </is>
      </c>
    </row>
    <row r="16">
      <c r="A16" s="8" t="inlineStr">
        <is>
          <t>• Почасовая: 2 500 ₽/ч, рост до 60 ч/мес (~14 ч/нед).</t>
        </is>
      </c>
    </row>
    <row r="17">
      <c r="A17" s="8" t="inlineStr">
        <is>
          <t>• RealMind/Академия: цена проекта 50 000 ₽ — ЗАГЛУШКА, задать реальную. Этот канал закрывает разрыв цели (~250 500).</t>
        </is>
      </c>
    </row>
    <row r="18">
      <c r="A18" s="8" t="inlineStr">
        <is>
          <t>• «Нужно ед./мес» — сколько продать/отработать, чтобы выйти на плановую сумму.</t>
        </is>
      </c>
    </row>
  </sheetData>
  <mergeCells count="7">
    <mergeCell ref="A18:H18"/>
    <mergeCell ref="A15:H15"/>
    <mergeCell ref="A16:H16"/>
    <mergeCell ref="A13:H13"/>
    <mergeCell ref="A14:H14"/>
    <mergeCell ref="A1:H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СВОДКА</t>
        </is>
      </c>
    </row>
    <row r="3">
      <c r="A3" s="9" t="inlineStr">
        <is>
          <t>Расходы, факт / мес</t>
        </is>
      </c>
      <c r="B3" s="13">
        <f>Расходы.C19</f>
        <v/>
      </c>
    </row>
    <row r="4">
      <c r="A4" s="9" t="inlineStr">
        <is>
          <t>Доход, факт / мес</t>
        </is>
      </c>
      <c r="B4" s="13">
        <f>Доходы.F11</f>
        <v/>
      </c>
    </row>
    <row r="5">
      <c r="A5" s="9" t="inlineStr">
        <is>
          <t>Профицит сейчас (доход − расход)</t>
        </is>
      </c>
      <c r="B5" s="13">
        <f>B4-B3</f>
        <v/>
      </c>
    </row>
    <row r="6">
      <c r="A6" s="9" t="inlineStr">
        <is>
          <t>Цель дохода / мес</t>
        </is>
      </c>
      <c r="B6" s="13">
        <f>Доходы.B4</f>
        <v/>
      </c>
    </row>
    <row r="7">
      <c r="A7" s="9" t="inlineStr">
        <is>
          <t>До цели (цель − факт дохода)</t>
        </is>
      </c>
      <c r="B7" s="13">
        <f>B6-B4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2026-07-01T18:18:17Z</dcterms:created>
  <dcterms:modified xsi:type="dcterms:W3CDTF">2026-07-01T18:18:17Z</dcterms:modified>
</cp:coreProperties>
</file>