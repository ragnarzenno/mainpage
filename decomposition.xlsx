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екомпозиция" sheetId="1" state="visible" r:id="rId1"/>
    <sheet name="Доп. расчёт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 &quot;₽&quot;"/>
  </numFmts>
  <fonts count="8">
    <font>
      <name val="Calibri"/>
      <family val="2"/>
      <color theme="1"/>
      <sz val="11"/>
      <scheme val="minor"/>
    </font>
    <font>
      <b val="1"/>
      <color rgb="00D1B16A"/>
      <sz val="14"/>
    </font>
    <font>
      <b val="1"/>
      <color rgb="00FFFFFF"/>
    </font>
    <font>
      <color rgb="00222222"/>
    </font>
    <font>
      <b val="1"/>
      <color rgb="00111111"/>
    </font>
    <font>
      <b val="1"/>
      <color rgb="00D1B16A"/>
      <sz val="13"/>
    </font>
    <font>
      <b val="1"/>
      <color rgb="000057B8"/>
    </font>
    <font>
      <i val="1"/>
      <color rgb="008A6D3B"/>
      <sz val="10"/>
    </font>
  </fonts>
  <fills count="4">
    <fill>
      <patternFill/>
    </fill>
    <fill>
      <patternFill patternType="gray125"/>
    </fill>
    <fill>
      <patternFill patternType="solid">
        <fgColor rgb="001B2230"/>
      </patternFill>
    </fill>
    <fill>
      <patternFill patternType="solid">
        <fgColor rgb="00EFE7CF"/>
      </patternFill>
    </fill>
  </fills>
  <borders count="2">
    <border>
      <left/>
      <right/>
      <top/>
      <bottom/>
      <diagonal/>
    </border>
    <border>
      <left style="thin">
        <color rgb="009AA0AA"/>
      </left>
      <right style="thin">
        <color rgb="009AA0AA"/>
      </right>
      <top style="thin">
        <color rgb="009AA0AA"/>
      </top>
      <bottom style="thin">
        <color rgb="009AA0A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5" fillId="2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64" fontId="4" fillId="3" borderId="0" pivotButton="0" quotePrefix="0" xfId="0"/>
    <xf numFmtId="164" fontId="4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3" customWidth="1" min="3" max="3"/>
    <col width="5" customWidth="1" min="4" max="4"/>
    <col width="40" customWidth="1" min="5" max="5"/>
    <col width="20" customWidth="1" min="6" max="6"/>
    <col width="13" customWidth="1" min="7" max="7"/>
  </cols>
  <sheetData>
    <row r="1">
      <c r="A1" s="1" t="inlineStr">
        <is>
          <t>декомпозиция</t>
        </is>
      </c>
    </row>
    <row r="2">
      <c r="A2" s="2" t="inlineStr">
        <is>
          <t>статья расхода</t>
        </is>
      </c>
      <c r="B2" s="2" t="inlineStr">
        <is>
          <t>сумма, ₽/мес</t>
        </is>
      </c>
      <c r="D2" s="2" t="inlineStr">
        <is>
          <t>№</t>
        </is>
      </c>
      <c r="E2" s="2" t="inlineStr">
        <is>
          <t>источники дохода</t>
        </is>
      </c>
      <c r="F2" s="2" t="inlineStr">
        <is>
          <t>стоимость ежемесячно</t>
        </is>
      </c>
      <c r="G2" s="2" t="inlineStr">
        <is>
          <t>штук в месяц</t>
        </is>
      </c>
    </row>
    <row r="3">
      <c r="A3" s="3" t="inlineStr">
        <is>
          <t>жильё (аренда, ипотека, платежи)</t>
        </is>
      </c>
      <c r="B3" s="4" t="n">
        <v>0</v>
      </c>
      <c r="D3" s="3" t="n">
        <v>1</v>
      </c>
      <c r="E3" s="3" t="inlineStr">
        <is>
          <t>Гипнотерапия</t>
        </is>
      </c>
      <c r="F3" s="4">
        <f>'Доп. расчёты'!$B$2*150</f>
        <v/>
      </c>
      <c r="G3" s="5">
        <f>ROUND('Доп. расчёты'!$B$4/F3,1)</f>
        <v/>
      </c>
    </row>
    <row r="4">
      <c r="A4" s="3" t="inlineStr">
        <is>
          <t>долги, кредиты, рассрочки</t>
        </is>
      </c>
      <c r="B4" s="4" t="n">
        <v>22200</v>
      </c>
      <c r="D4" s="3" t="n">
        <v>2</v>
      </c>
      <c r="E4" s="3" t="inlineStr">
        <is>
          <t>Автоматизация — делегирование процессов (30%)</t>
        </is>
      </c>
      <c r="F4" s="4">
        <f>0.3*'Доп. расчёты'!$B$3</f>
        <v/>
      </c>
      <c r="G4" s="5">
        <f>ROUND('Доп. расчёты'!$B$4/F4,1)</f>
        <v/>
      </c>
    </row>
    <row r="5">
      <c r="A5" s="3" t="inlineStr">
        <is>
          <t>инвестиции в себя (обучение, спорт, творчество)</t>
        </is>
      </c>
      <c r="B5" s="4" t="n">
        <v>3000</v>
      </c>
      <c r="D5" s="3" t="n">
        <v>3</v>
      </c>
      <c r="E5" s="3" t="inlineStr">
        <is>
          <t>Автоматизация — почасовая (2 клиента)</t>
        </is>
      </c>
      <c r="F5" s="4" t="n">
        <v>2500</v>
      </c>
      <c r="G5" s="5">
        <f>ROUND('Доп. расчёты'!$B$4/F5,1)</f>
        <v/>
      </c>
    </row>
    <row r="6">
      <c r="A6" s="3" t="inlineStr">
        <is>
          <t>здоровье (бады, обследования, массажи, процедуры)</t>
        </is>
      </c>
      <c r="B6" s="4" t="n">
        <v>4000</v>
      </c>
      <c r="D6" s="3" t="n">
        <v>4</v>
      </c>
      <c r="E6" s="3" t="inlineStr">
        <is>
          <t>Академия / проекты RealMind</t>
        </is>
      </c>
      <c r="F6" s="4" t="n">
        <v>50000</v>
      </c>
      <c r="G6" s="5">
        <f>ROUND('Доп. расчёты'!$B$4/F6,1)</f>
        <v/>
      </c>
    </row>
    <row r="7">
      <c r="A7" s="3" t="inlineStr">
        <is>
          <t>транспорт (аренда, замена расходников, топливо)</t>
        </is>
      </c>
      <c r="B7" s="4" t="n">
        <v>2500</v>
      </c>
      <c r="D7" s="6" t="n"/>
      <c r="E7" s="7" t="inlineStr">
        <is>
          <t>итого (цель дохода):</t>
        </is>
      </c>
      <c r="F7" s="8">
        <f>'Доп. расчёты'!$B$4</f>
        <v/>
      </c>
      <c r="G7" s="6" t="n"/>
    </row>
    <row r="8">
      <c r="A8" s="3" t="inlineStr">
        <is>
          <t>одежда, аксессуары, косметика, уход за собой</t>
        </is>
      </c>
      <c r="B8" s="4" t="n">
        <v>1500</v>
      </c>
    </row>
    <row r="9">
      <c r="A9" s="3" t="inlineStr">
        <is>
          <t>гаджеты (телефоны, камеры, связь, интернет)</t>
        </is>
      </c>
      <c r="B9" s="4" t="n">
        <v>0</v>
      </c>
    </row>
    <row r="10">
      <c r="A10" s="3" t="inlineStr">
        <is>
          <t>бизнес (только личный бренд)</t>
        </is>
      </c>
      <c r="B10" s="4" t="n">
        <v>0</v>
      </c>
    </row>
    <row r="11">
      <c r="A11" s="3" t="inlineStr">
        <is>
          <t>питание (продукты, кафе, рестораны, доставка)</t>
        </is>
      </c>
      <c r="B11" s="4" t="n">
        <v>15000</v>
      </c>
    </row>
    <row r="12">
      <c r="A12" s="3" t="inlineStr">
        <is>
          <t>подарки (себе, родным, друзьям) — ДР, праздники</t>
        </is>
      </c>
      <c r="B12" s="4" t="n">
        <v>5000</v>
      </c>
    </row>
    <row r="13">
      <c r="A13" s="3" t="inlineStr">
        <is>
          <t>отдых (выходные, отпуск)</t>
        </is>
      </c>
      <c r="B13" s="4" t="n">
        <v>0</v>
      </c>
    </row>
    <row r="14">
      <c r="A14" s="3" t="inlineStr">
        <is>
          <t>путешествия</t>
        </is>
      </c>
      <c r="B14" s="4" t="n">
        <v>0</v>
      </c>
    </row>
    <row r="15">
      <c r="A15" s="3" t="inlineStr">
        <is>
          <t>подписки услуг (приложения, музыка, кино)</t>
        </is>
      </c>
      <c r="B15" s="4" t="n">
        <v>500</v>
      </c>
    </row>
    <row r="16">
      <c r="A16" s="3" t="inlineStr">
        <is>
          <t>визы (визараны)</t>
        </is>
      </c>
      <c r="B16" s="4" t="n">
        <v>20000</v>
      </c>
    </row>
    <row r="17">
      <c r="A17" s="3" t="inlineStr">
        <is>
          <t>благотворительность</t>
        </is>
      </c>
      <c r="B17" s="4" t="n">
        <v>20000</v>
      </c>
    </row>
    <row r="18">
      <c r="A18" s="7" t="inlineStr">
        <is>
          <t>итого:</t>
        </is>
      </c>
      <c r="B18" s="8">
        <f>SUM(B3:B17)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</cols>
  <sheetData>
    <row r="1">
      <c r="A1" s="9" t="inlineStr">
        <is>
          <t>ПАРАМЕТРЫ И РАСЧЁТЫ</t>
        </is>
      </c>
    </row>
    <row r="2">
      <c r="A2" s="10" t="inlineStr">
        <is>
          <t>Курс $ (₽)</t>
        </is>
      </c>
      <c r="B2" s="11" t="n">
        <v>80</v>
      </c>
    </row>
    <row r="3">
      <c r="A3" s="10" t="inlineStr">
        <is>
          <t>Средний чек заказа (делегирование), ₽</t>
        </is>
      </c>
      <c r="B3" s="11" t="n">
        <v>87500</v>
      </c>
    </row>
    <row r="4">
      <c r="A4" s="10" t="inlineStr">
        <is>
          <t>Цель дохода / мес, ₽</t>
        </is>
      </c>
      <c r="B4" s="11" t="n">
        <v>750000</v>
      </c>
    </row>
    <row r="6">
      <c r="A6" s="10" t="inlineStr">
        <is>
          <t>ФАКТ (сейчас)</t>
        </is>
      </c>
    </row>
    <row r="7">
      <c r="A7" s="12" t="inlineStr">
        <is>
          <t>источник</t>
        </is>
      </c>
      <c r="B7" s="12" t="inlineStr">
        <is>
          <t>ед./мес (факт)</t>
        </is>
      </c>
      <c r="C7" s="12" t="inlineStr">
        <is>
          <t>доход факт/мес</t>
        </is>
      </c>
    </row>
    <row r="8">
      <c r="A8" s="13" t="inlineStr">
        <is>
          <t>Гипнотерапия</t>
        </is>
      </c>
      <c r="B8" s="13" t="n">
        <v>4</v>
      </c>
      <c r="C8" s="14">
        <f>B8*'Декомпозиция'!F3</f>
        <v/>
      </c>
    </row>
    <row r="9">
      <c r="A9" s="13" t="inlineStr">
        <is>
          <t>Автоматизация — делегирование (30%)</t>
        </is>
      </c>
      <c r="B9" s="13" t="n">
        <v>3.5</v>
      </c>
      <c r="C9" s="14">
        <f>B9*'Декомпозиция'!F4</f>
        <v/>
      </c>
    </row>
    <row r="10">
      <c r="A10" s="13" t="inlineStr">
        <is>
          <t>Автоматизация — почасовая (2 клиента)</t>
        </is>
      </c>
      <c r="B10" s="13" t="n">
        <v>43.3</v>
      </c>
      <c r="C10" s="14">
        <f>B10*'Декомпозиция'!F5</f>
        <v/>
      </c>
    </row>
    <row r="11">
      <c r="A11" s="13" t="inlineStr">
        <is>
          <t>Академия / проекты RealMind</t>
        </is>
      </c>
      <c r="B11" s="13" t="n">
        <v>0</v>
      </c>
      <c r="C11" s="14">
        <f>B11*'Декомпозиция'!F6</f>
        <v/>
      </c>
    </row>
    <row r="12">
      <c r="A12" s="15" t="inlineStr">
        <is>
          <t>ИТОГО факт</t>
        </is>
      </c>
      <c r="B12" s="16" t="n"/>
      <c r="C12" s="17">
        <f>SUM(C8:C11)</f>
        <v/>
      </c>
    </row>
    <row r="14">
      <c r="A14" s="10" t="inlineStr">
        <is>
          <t>Профицит сейчас (доход факт − расходы)</t>
        </is>
      </c>
      <c r="B14" s="18">
        <f>C12-Декомпозиция!B18</f>
        <v/>
      </c>
    </row>
    <row r="15">
      <c r="A15" s="10" t="inlineStr">
        <is>
          <t>До цели (цель − доход факт)</t>
        </is>
      </c>
      <c r="B15" s="18">
        <f>B4-C12</f>
        <v/>
      </c>
    </row>
    <row r="17">
      <c r="A17" s="10" t="inlineStr">
        <is>
          <t>ПОЯСНЕНИЯ:</t>
        </is>
      </c>
    </row>
    <row r="18">
      <c r="A18" s="19" t="inlineStr">
        <is>
          <t>• «штук в месяц» = цель ÷ стоимость единицы (сколько продать ЭТОГО, чтобы одному каналу закрыть всю цель).</t>
        </is>
      </c>
    </row>
    <row r="19">
      <c r="A19" s="19" t="inlineStr">
        <is>
          <t>• Гипнотерапия: $150 × курс. Делегирование: 30% × 87 500 = 26 250 ₽/заказ.</t>
        </is>
      </c>
    </row>
    <row r="20">
      <c r="A20" s="19" t="inlineStr">
        <is>
          <t>• 1 заказ делегирования = 2–3 недели → рост числа только через делегатов (параллельные потоки).</t>
        </is>
      </c>
    </row>
    <row r="21">
      <c r="A21" s="19" t="inlineStr">
        <is>
          <t>• RealMind/Академия: цена проекта 50 000 ₽ — ЗАГЛУШКА, поставь реальную.</t>
        </is>
      </c>
    </row>
    <row r="22">
      <c r="A22" s="19" t="inlineStr">
        <is>
          <t>• Долги 22 200 = 266 400 ₽ ÷ 12 мес. Жильё = 0 (допущение).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2026-07-02T04:09:35Z</dcterms:created>
  <dcterms:modified xsi:type="dcterms:W3CDTF">2026-07-02T04:09:35Z</dcterms:modified>
</cp:coreProperties>
</file>